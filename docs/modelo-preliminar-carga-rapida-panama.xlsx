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Escenarios EDEMET" sheetId="3" state="visible" r:id="rId3"/>
    <sheet xmlns:r="http://schemas.openxmlformats.org/officeDocument/2006/relationships" name="Sensibilidad zonas" sheetId="4" state="visible" r:id="rId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%"/>
    <numFmt numFmtId="165" formatCode="B/.0.00000"/>
    <numFmt numFmtId="166" formatCode="B/.#,##0.00;[Red]-B/.#,##0.00"/>
    <numFmt numFmtId="167" formatCode="B/.#,##0.000;[Red]-B/.#,##0.0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0F172A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0B981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165" fontId="2" fillId="4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Modelo preliminar — Carga rápida pública en Panamá</t>
        </is>
      </c>
    </row>
    <row r="3" ht="34" customHeight="1">
      <c r="A3" s="2" t="inlineStr">
        <is>
          <t>Propósito</t>
        </is>
      </c>
      <c r="B3" s="3" t="inlineStr">
        <is>
          <t>Modelo de sensibilidad para evaluar un sitio DC; no es una cotización ni una proyección de inversión.</t>
        </is>
      </c>
    </row>
    <row r="4" ht="34" customHeight="1">
      <c r="A4" s="2" t="inlineStr">
        <is>
          <t>Cómo usar</t>
        </is>
      </c>
      <c r="B4" s="3" t="inlineStr">
        <is>
          <t>Edite las celdas verdes de Supuestos. Las hojas de escenarios actualizan las fórmulas al abrir el archivo en Excel.</t>
        </is>
      </c>
    </row>
    <row r="5" ht="34" customHeight="1">
      <c r="A5" s="2" t="inlineStr">
        <is>
          <t>Advertencia</t>
        </is>
      </c>
      <c r="B5" s="3" t="inlineStr">
        <is>
          <t>Reemplazar referencias históricas de enero–agosto de 2026 con el pliego vigente y el estudio de conexión de la ubicación.</t>
        </is>
      </c>
    </row>
    <row r="6" ht="34" customHeight="1">
      <c r="A6" s="2" t="inlineStr">
        <is>
          <t>Fuentes</t>
        </is>
      </c>
      <c r="B6" s="3" t="inlineStr">
        <is>
          <t>ASEP tarifas y CVC 2026; propuesta de pliego 2026–2030; precio público observado B/.0,35–0,50/kWh como referencia sectorial.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4" customWidth="1" min="3" max="3"/>
    <col width="36" customWidth="1" min="4" max="4"/>
    <col width="42" customWidth="1" min="5" max="5"/>
  </cols>
  <sheetData>
    <row r="1" ht="28" customHeight="1">
      <c r="A1" s="1" t="inlineStr">
        <is>
          <t>Supuestos editables</t>
        </is>
      </c>
    </row>
    <row r="3">
      <c r="A3" s="4" t="inlineStr">
        <is>
          <t>Concepto</t>
        </is>
      </c>
      <c r="B3" s="4" t="inlineStr">
        <is>
          <t>Valor</t>
        </is>
      </c>
      <c r="C3" s="4" t="inlineStr">
        <is>
          <t>Unidad</t>
        </is>
      </c>
      <c r="D3" s="4" t="inlineStr">
        <is>
          <t>Uso en el modelo</t>
        </is>
      </c>
      <c r="E3" s="4" t="inlineStr">
        <is>
          <t>Fuente / nota</t>
        </is>
      </c>
    </row>
    <row r="4">
      <c r="A4" s="5" t="inlineStr">
        <is>
          <t>Potencia nominal</t>
        </is>
      </c>
      <c r="B4" s="6" t="n">
        <v>120</v>
      </c>
      <c r="C4" s="5" t="inlineStr">
        <is>
          <t>kW</t>
        </is>
      </c>
      <c r="D4" s="5" t="inlineStr">
        <is>
          <t>Capacidad de cargador DC</t>
        </is>
      </c>
      <c r="E4" s="5" t="inlineStr">
        <is>
          <t>Supuesto; validar con diseño</t>
        </is>
      </c>
    </row>
    <row r="5">
      <c r="A5" s="5" t="inlineStr">
        <is>
          <t>Días por mes</t>
        </is>
      </c>
      <c r="B5" s="6" t="n">
        <v>30</v>
      </c>
      <c r="C5" s="5" t="inlineStr">
        <is>
          <t>días</t>
        </is>
      </c>
      <c r="D5" s="5" t="inlineStr">
        <is>
          <t>Conversión de utilización a kWh mensuales</t>
        </is>
      </c>
      <c r="E5" s="5" t="inlineStr">
        <is>
          <t>Supuesto de modelación</t>
        </is>
      </c>
    </row>
    <row r="6">
      <c r="A6" s="5" t="inlineStr">
        <is>
          <t>Eficiencia de entrega</t>
        </is>
      </c>
      <c r="B6" s="7" t="n">
        <v>0.92</v>
      </c>
      <c r="C6" s="5" t="inlineStr">
        <is>
          <t>%</t>
        </is>
      </c>
      <c r="D6" s="5" t="inlineStr">
        <is>
          <t>kWh comprados = kWh entregados / eficiencia</t>
        </is>
      </c>
      <c r="E6" s="5" t="inlineStr">
        <is>
          <t>Reemplazar por ficha técnica</t>
        </is>
      </c>
    </row>
    <row r="7">
      <c r="A7" s="5" t="inlineStr">
        <is>
          <t>Demanda facturada</t>
        </is>
      </c>
      <c r="B7" s="6" t="n">
        <v>120</v>
      </c>
      <c r="C7" s="5" t="inlineStr">
        <is>
          <t>kW</t>
        </is>
      </c>
      <c r="D7" s="5" t="inlineStr">
        <is>
          <t>Cargo de demanda mensual</t>
        </is>
      </c>
      <c r="E7" s="5" t="inlineStr">
        <is>
          <t>Validar con simultaneidad / load management</t>
        </is>
      </c>
    </row>
    <row r="8">
      <c r="A8" s="5" t="inlineStr">
        <is>
          <t>EDEMET energía MTD</t>
        </is>
      </c>
      <c r="B8" s="8" t="n">
        <v>0.16001</v>
      </c>
      <c r="C8" s="5" t="inlineStr">
        <is>
          <t>B/./kWh</t>
        </is>
      </c>
      <c r="D8" s="5" t="inlineStr">
        <is>
          <t>Componente energía</t>
        </is>
      </c>
      <c r="E8" s="5" t="inlineStr">
        <is>
          <t>ASEP ene–ago 2026</t>
        </is>
      </c>
    </row>
    <row r="9">
      <c r="A9" s="5" t="inlineStr">
        <is>
          <t>EDEMET CVC</t>
        </is>
      </c>
      <c r="B9" s="8" t="n">
        <v>-0.00915</v>
      </c>
      <c r="C9" s="5" t="inlineStr">
        <is>
          <t>B/./kWh</t>
        </is>
      </c>
      <c r="D9" s="5" t="inlineStr">
        <is>
          <t>Variación combustible</t>
        </is>
      </c>
      <c r="E9" s="5" t="inlineStr">
        <is>
          <t>ASEP agosto 2026; variable</t>
        </is>
      </c>
    </row>
    <row r="10">
      <c r="A10" s="5" t="inlineStr">
        <is>
          <t>EDEMET demanda MTD</t>
        </is>
      </c>
      <c r="B10" s="8" t="n">
        <v>20.62</v>
      </c>
      <c r="C10" s="5" t="inlineStr">
        <is>
          <t>B/./kW-mes</t>
        </is>
      </c>
      <c r="D10" s="5" t="inlineStr">
        <is>
          <t>Cargo de demanda</t>
        </is>
      </c>
      <c r="E10" s="5" t="inlineStr">
        <is>
          <t>ASEP ene–ago 2026</t>
        </is>
      </c>
    </row>
    <row r="11">
      <c r="A11" s="5" t="inlineStr">
        <is>
          <t>EDEMET cargo fijo</t>
        </is>
      </c>
      <c r="B11" s="8" t="n">
        <v>14.27</v>
      </c>
      <c r="C11" s="5" t="inlineStr">
        <is>
          <t>B/./mes</t>
        </is>
      </c>
      <c r="D11" s="5" t="inlineStr">
        <is>
          <t>Cargo fijo</t>
        </is>
      </c>
      <c r="E11" s="5" t="inlineStr">
        <is>
          <t>ASEP ene–ago 2026</t>
        </is>
      </c>
    </row>
    <row r="12">
      <c r="A12" s="5" t="inlineStr">
        <is>
          <t>Precio público bajo</t>
        </is>
      </c>
      <c r="B12" s="8" t="n">
        <v>0.35</v>
      </c>
      <c r="C12" s="5" t="inlineStr">
        <is>
          <t>B/./kWh</t>
        </is>
      </c>
      <c r="D12" s="5" t="inlineStr">
        <is>
          <t>Escenario conservador</t>
        </is>
      </c>
      <c r="E12" s="5" t="inlineStr">
        <is>
          <t>Banda observada a validar</t>
        </is>
      </c>
    </row>
    <row r="13">
      <c r="A13" s="5" t="inlineStr">
        <is>
          <t>Precio público base</t>
        </is>
      </c>
      <c r="B13" s="8" t="n">
        <v>0.425</v>
      </c>
      <c r="C13" s="5" t="inlineStr">
        <is>
          <t>B/./kWh</t>
        </is>
      </c>
      <c r="D13" s="5" t="inlineStr">
        <is>
          <t>Escenario base</t>
        </is>
      </c>
      <c r="E13" s="5" t="inlineStr">
        <is>
          <t>Punto medio de banda observada</t>
        </is>
      </c>
    </row>
    <row r="14">
      <c r="A14" s="5" t="inlineStr">
        <is>
          <t>Precio público alto</t>
        </is>
      </c>
      <c r="B14" s="8" t="n">
        <v>0.5</v>
      </c>
      <c r="C14" s="5" t="inlineStr">
        <is>
          <t>B/./kWh</t>
        </is>
      </c>
      <c r="D14" s="5" t="inlineStr">
        <is>
          <t>Escenario alto uso</t>
        </is>
      </c>
      <c r="E14" s="5" t="inlineStr">
        <is>
          <t>Banda observada a validar</t>
        </is>
      </c>
    </row>
    <row r="15">
      <c r="A15" s="5" t="inlineStr">
        <is>
          <t>Utilización conservadora</t>
        </is>
      </c>
      <c r="B15" s="7" t="n">
        <v>0.05</v>
      </c>
      <c r="C15" s="5" t="inlineStr">
        <is>
          <t>%</t>
        </is>
      </c>
      <c r="D15" s="5" t="inlineStr">
        <is>
          <t>Horas equivalentes</t>
        </is>
      </c>
      <c r="E15" s="5" t="inlineStr">
        <is>
          <t>Escenario de sensibilidad</t>
        </is>
      </c>
    </row>
    <row r="16">
      <c r="A16" s="5" t="inlineStr">
        <is>
          <t>Utilización base</t>
        </is>
      </c>
      <c r="B16" s="7" t="n">
        <v>0.15</v>
      </c>
      <c r="C16" s="5" t="inlineStr">
        <is>
          <t>%</t>
        </is>
      </c>
      <c r="D16" s="5" t="inlineStr">
        <is>
          <t>Horas equivalentes</t>
        </is>
      </c>
      <c r="E16" s="5" t="inlineStr">
        <is>
          <t>Escenario de sensibilidad</t>
        </is>
      </c>
    </row>
    <row r="17">
      <c r="A17" s="5" t="inlineStr">
        <is>
          <t>Utilización alta</t>
        </is>
      </c>
      <c r="B17" s="7" t="n">
        <v>0.3</v>
      </c>
      <c r="C17" s="5" t="inlineStr">
        <is>
          <t>%</t>
        </is>
      </c>
      <c r="D17" s="5" t="inlineStr">
        <is>
          <t>Horas equivalentes</t>
        </is>
      </c>
      <c r="E17" s="5" t="inlineStr">
        <is>
          <t>Escenario de sensibilidad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Escenarios — Estación DC 120 kW · EDEMET</t>
        </is>
      </c>
    </row>
    <row r="3">
      <c r="A3" s="4" t="inlineStr">
        <is>
          <t>Escenario</t>
        </is>
      </c>
      <c r="B3" s="4" t="inlineStr">
        <is>
          <t>Utilización</t>
        </is>
      </c>
      <c r="C3" s="4" t="inlineStr">
        <is>
          <t>Precio de venta</t>
        </is>
      </c>
      <c r="D3" s="4" t="inlineStr">
        <is>
          <t>kWh entregados/mes</t>
        </is>
      </c>
      <c r="E3" s="4" t="inlineStr">
        <is>
          <t>kWh comprados/mes</t>
        </is>
      </c>
      <c r="F3" s="4" t="inlineStr">
        <is>
          <t>Ingreso/mes</t>
        </is>
      </c>
      <c r="G3" s="4" t="inlineStr">
        <is>
          <t>Energía + CVC</t>
        </is>
      </c>
      <c r="H3" s="4" t="inlineStr">
        <is>
          <t>Demanda + fijo</t>
        </is>
      </c>
      <c r="I3" s="4" t="inlineStr">
        <is>
          <t>Costo total de red</t>
        </is>
      </c>
      <c r="J3" s="4" t="inlineStr">
        <is>
          <t>Costo efectivo/kWh</t>
        </is>
      </c>
      <c r="K3" s="4" t="inlineStr">
        <is>
          <t>Contribución tras red</t>
        </is>
      </c>
    </row>
    <row r="4">
      <c r="A4" s="5" t="inlineStr">
        <is>
          <t>Conservador</t>
        </is>
      </c>
      <c r="B4" s="9">
        <f>Supuestos!B15</f>
        <v/>
      </c>
      <c r="C4" s="10">
        <f>Supuestos!B12</f>
        <v/>
      </c>
      <c r="D4" s="10">
        <f>Supuestos!B4*24*Supuestos!B5*B4</f>
        <v/>
      </c>
      <c r="E4" s="10">
        <f>D4/Supuestos!B6</f>
        <v/>
      </c>
      <c r="F4" s="10">
        <f>D4*C4</f>
        <v/>
      </c>
      <c r="G4" s="10">
        <f>E4*(Supuestos!B8+Supuestos!B9)</f>
        <v/>
      </c>
      <c r="H4" s="10">
        <f>Supuestos!B7*Supuestos!B10+Supuestos!B11</f>
        <v/>
      </c>
      <c r="I4" s="10">
        <f>G4+H4</f>
        <v/>
      </c>
      <c r="J4" s="10">
        <f>I4/D4</f>
        <v/>
      </c>
      <c r="K4" s="10">
        <f>F4-I4</f>
        <v/>
      </c>
    </row>
    <row r="5">
      <c r="A5" s="5" t="inlineStr">
        <is>
          <t>Base</t>
        </is>
      </c>
      <c r="B5" s="9">
        <f>Supuestos!B16</f>
        <v/>
      </c>
      <c r="C5" s="10">
        <f>Supuestos!B13</f>
        <v/>
      </c>
      <c r="D5" s="10">
        <f>Supuestos!B4*24*Supuestos!B5*B5</f>
        <v/>
      </c>
      <c r="E5" s="10">
        <f>D5/Supuestos!B6</f>
        <v/>
      </c>
      <c r="F5" s="10">
        <f>D5*C5</f>
        <v/>
      </c>
      <c r="G5" s="10">
        <f>E5*(Supuestos!B8+Supuestos!B9)</f>
        <v/>
      </c>
      <c r="H5" s="10">
        <f>Supuestos!B7*Supuestos!B10+Supuestos!B11</f>
        <v/>
      </c>
      <c r="I5" s="10">
        <f>G5+H5</f>
        <v/>
      </c>
      <c r="J5" s="10">
        <f>I5/D5</f>
        <v/>
      </c>
      <c r="K5" s="10">
        <f>F5-I5</f>
        <v/>
      </c>
    </row>
    <row r="6">
      <c r="A6" s="5" t="inlineStr">
        <is>
          <t>Alto uso</t>
        </is>
      </c>
      <c r="B6" s="9">
        <f>Supuestos!B17</f>
        <v/>
      </c>
      <c r="C6" s="10">
        <f>Supuestos!B14</f>
        <v/>
      </c>
      <c r="D6" s="10">
        <f>Supuestos!B4*24*Supuestos!B5*B6</f>
        <v/>
      </c>
      <c r="E6" s="10">
        <f>D6/Supuestos!B6</f>
        <v/>
      </c>
      <c r="F6" s="10">
        <f>D6*C6</f>
        <v/>
      </c>
      <c r="G6" s="10">
        <f>E6*(Supuestos!B8+Supuestos!B9)</f>
        <v/>
      </c>
      <c r="H6" s="10">
        <f>Supuestos!B7*Supuestos!B10+Supuestos!B11</f>
        <v/>
      </c>
      <c r="I6" s="10">
        <f>G6+H6</f>
        <v/>
      </c>
      <c r="J6" s="10">
        <f>I6/D6</f>
        <v/>
      </c>
      <c r="K6" s="10">
        <f>F6-I6</f>
        <v/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" t="inlineStr">
        <is>
          <t>Sensibilidad territorial — caso base de 15%</t>
        </is>
      </c>
    </row>
    <row r="3">
      <c r="A3" s="4" t="inlineStr">
        <is>
          <t>Zona</t>
        </is>
      </c>
      <c r="B3" s="4" t="inlineStr">
        <is>
          <t>Energía</t>
        </is>
      </c>
      <c r="C3" s="4" t="inlineStr">
        <is>
          <t>CVC</t>
        </is>
      </c>
      <c r="D3" s="4" t="inlineStr">
        <is>
          <t>Demanda</t>
        </is>
      </c>
      <c r="E3" s="4" t="inlineStr">
        <is>
          <t>Fijo</t>
        </is>
      </c>
      <c r="F3" s="4" t="inlineStr">
        <is>
          <t>Costo efectivo/kWh</t>
        </is>
      </c>
      <c r="G3" s="4" t="inlineStr">
        <is>
          <t>Ingreso/mes</t>
        </is>
      </c>
      <c r="H3" s="4" t="inlineStr">
        <is>
          <t>Costo red/mes</t>
        </is>
      </c>
      <c r="I3" s="4" t="inlineStr">
        <is>
          <t>Contribución tras red</t>
        </is>
      </c>
    </row>
    <row r="4">
      <c r="A4" s="5" t="inlineStr">
        <is>
          <t>EDEMET</t>
        </is>
      </c>
      <c r="B4" s="11" t="n">
        <v>0.16001</v>
      </c>
      <c r="C4" s="11" t="n">
        <v>-0.00915</v>
      </c>
      <c r="D4" s="11" t="n">
        <v>20.62</v>
      </c>
      <c r="E4" s="11" t="n">
        <v>14.27</v>
      </c>
      <c r="F4" s="11">
        <f>(((Supuestos!B4*24*Supuestos!B5*Supuestos!B16)/Supuestos!B6)*(B4+C4)+(Supuestos!B7*D4)+E4)/(Supuestos!B4*24*Supuestos!B5*Supuestos!B16)</f>
        <v/>
      </c>
      <c r="G4" s="11">
        <f>Supuestos!B4*24*Supuestos!B5*Supuestos!B16*Supuestos!B13</f>
        <v/>
      </c>
      <c r="H4" s="11">
        <f>G4-(G4-((Supuestos!B4*24*Supuestos!B5*Supuestos!B16)/Supuestos!B6)*(B4+C4)-(Supuestos!B7*D4)-E4)</f>
        <v/>
      </c>
      <c r="I4" s="11">
        <f>G4-H4</f>
        <v/>
      </c>
    </row>
    <row r="5">
      <c r="A5" s="5" t="inlineStr">
        <is>
          <t>ENSA</t>
        </is>
      </c>
      <c r="B5" s="11" t="n">
        <v>0.15396</v>
      </c>
      <c r="C5" s="11" t="n">
        <v>0.00052</v>
      </c>
      <c r="D5" s="11" t="n">
        <v>12.45</v>
      </c>
      <c r="E5" s="11" t="n">
        <v>9.06</v>
      </c>
      <c r="F5" s="11">
        <f>(((Supuestos!B4*24*Supuestos!B5*Supuestos!B16)/Supuestos!B6)*(B5+C5)+(Supuestos!B7*D5)+E5)/(Supuestos!B4*24*Supuestos!B5*Supuestos!B16)</f>
        <v/>
      </c>
      <c r="G5" s="11">
        <f>Supuestos!B4*24*Supuestos!B5*Supuestos!B16*Supuestos!B13</f>
        <v/>
      </c>
      <c r="H5" s="11">
        <f>G5-(G5-((Supuestos!B4*24*Supuestos!B5*Supuestos!B16)/Supuestos!B6)*(B5+C5)-(Supuestos!B7*D5)-E5)</f>
        <v/>
      </c>
      <c r="I5" s="11">
        <f>G5-H5</f>
        <v/>
      </c>
    </row>
    <row r="6">
      <c r="A6" s="5" t="inlineStr">
        <is>
          <t>EDECHI</t>
        </is>
      </c>
      <c r="B6" s="11" t="n">
        <v>0.13479</v>
      </c>
      <c r="C6" s="11" t="n">
        <v>-0.0151</v>
      </c>
      <c r="D6" s="11" t="n">
        <v>24.53</v>
      </c>
      <c r="E6" s="11" t="n">
        <v>14.21</v>
      </c>
      <c r="F6" s="11">
        <f>(((Supuestos!B4*24*Supuestos!B5*Supuestos!B16)/Supuestos!B6)*(B6+C6)+(Supuestos!B7*D6)+E6)/(Supuestos!B4*24*Supuestos!B5*Supuestos!B16)</f>
        <v/>
      </c>
      <c r="G6" s="11">
        <f>Supuestos!B4*24*Supuestos!B5*Supuestos!B16*Supuestos!B13</f>
        <v/>
      </c>
      <c r="H6" s="11">
        <f>G6-(G6-((Supuestos!B4*24*Supuestos!B5*Supuestos!B16)/Supuestos!B6)*(B6+C6)-(Supuestos!B7*D6)-E6)</f>
        <v/>
      </c>
      <c r="I6" s="11">
        <f>G6-H6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2026-09-02T01:21:08Z</dcterms:created>
  <dcterms:modified xmlns:dcterms="http://purl.org/dc/terms/" xmlns:xsi="http://www.w3.org/2001/XMLSchema-instance" xsi:type="dcterms:W3CDTF">2026-09-02T01:21:08Z</dcterms:modified>
</cp:coreProperties>
</file>